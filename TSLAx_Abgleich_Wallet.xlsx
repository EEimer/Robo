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gleich" sheetId="1" state="visible" r:id="rId1"/>
    <sheet xmlns:r="http://schemas.openxmlformats.org/officeDocument/2006/relationships" name="On-Chain Ledger" sheetId="2" state="visible" r:id="rId2"/>
    <sheet xmlns:r="http://schemas.openxmlformats.org/officeDocument/2006/relationships" name="Bestand &amp; Einsta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sz val="12"/>
    </font>
    <font>
      <name val="Arial"/>
      <i val="1"/>
      <sz val="10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164" fontId="6" fillId="3" borderId="0" pivotButton="0" quotePrefix="0" xfId="0"/>
    <xf numFmtId="164" fontId="7" fillId="0" borderId="0" pivotButton="0" quotePrefix="0" xfId="0"/>
    <xf numFmtId="164" fontId="4" fillId="0" borderId="0" pivotButton="0" quotePrefix="0" xfId="0"/>
    <xf numFmtId="0" fontId="8" fillId="0" borderId="0" pivotButton="0" quotePrefix="0" xfId="0"/>
    <xf numFmtId="0" fontId="4" fillId="0" borderId="1" pivotButton="0" quotePrefix="0" xfId="0"/>
    <xf numFmtId="4" fontId="6" fillId="0" borderId="1" pivotButton="0" quotePrefix="0" xfId="0"/>
    <xf numFmtId="4" fontId="4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2" borderId="0" applyAlignment="1" pivotButton="0" quotePrefix="0" xfId="0">
      <alignment vertical="center" wrapText="1"/>
    </xf>
    <xf numFmtId="0" fontId="5" fillId="0" borderId="1" pivotButton="0" quotePrefix="0" xfId="0"/>
    <xf numFmtId="4" fontId="7" fillId="0" borderId="1" pivotButton="0" quotePrefix="0" xfId="0"/>
    <xf numFmtId="4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7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TSLAx – Abgleich Tracking vs. Wallet</t>
        </is>
      </c>
    </row>
    <row r="2">
      <c r="A2" s="2" t="inlineStr">
        <is>
          <t>Wallet 2sRxCgzDSb8Jb6RHpLDyu4Qv85RP9GZ1sp48oAkTvJMV · Mint XsDoVfqeBukxuZHWhdvWHBhgEHjGNst4MLodqsJHzoB · Stand 14.08.2026</t>
        </is>
      </c>
    </row>
    <row r="4">
      <c r="A4" s="3" t="inlineStr">
        <is>
          <t>Position</t>
        </is>
      </c>
      <c r="B4" s="3" t="inlineStr">
        <is>
          <t>Stück</t>
        </is>
      </c>
    </row>
    <row r="5">
      <c r="A5" s="4" t="inlineStr">
        <is>
          <t>Bestand laut deinem Tracking (nur X-Zeilen)</t>
        </is>
      </c>
      <c r="B5" s="5" t="n">
        <v>92.697</v>
      </c>
    </row>
    <row r="6">
      <c r="A6" s="6" t="inlineStr">
        <is>
          <t>+ „Verkauf 100 @ 400 USD“ vom 08.04.2026 – on-chain NICHT auffindbar</t>
        </is>
      </c>
      <c r="B6" s="5" t="n">
        <v>100</v>
      </c>
    </row>
    <row r="7">
      <c r="A7" s="6" t="inlineStr">
        <is>
          <t>− Verkauf 23,83 @ 422,20 USD vom 02.02.2026 – im Tracking NICHT erfasst</t>
        </is>
      </c>
      <c r="B7" s="5" t="n">
        <v>-23.83</v>
      </c>
    </row>
    <row r="8">
      <c r="A8" s="6" t="inlineStr">
        <is>
          <t>+ Raydium-LP-Auflösung 25.07.: netto +63,2572 statt getrackt +57,00</t>
        </is>
      </c>
      <c r="B8" s="5" t="n">
        <v>6.2572</v>
      </c>
    </row>
    <row r="9">
      <c r="A9" s="4" t="inlineStr">
        <is>
          <t>+ 20.04.2026: on-chain nur 52,8823 verkauft (getrackt 55,04)</t>
        </is>
      </c>
      <c r="B9" s="5" t="n">
        <v>2.1577</v>
      </c>
    </row>
    <row r="10">
      <c r="A10" s="4" t="inlineStr">
        <is>
          <t>+ 04.02.2026: on-chain 12,0000 verkauft (getrackt 12,44)</t>
        </is>
      </c>
      <c r="B10" s="5" t="n">
        <v>0.44</v>
      </c>
    </row>
    <row r="11">
      <c r="A11" s="4" t="inlineStr">
        <is>
          <t>+ Rundungen Altbestand / Stückzahlen</t>
        </is>
      </c>
      <c r="B11" s="5" t="n">
        <v>0.2388</v>
      </c>
    </row>
    <row r="12">
      <c r="A12" s="7" t="inlineStr">
        <is>
          <t>Summe = rechnerischer Wallet-Bestand</t>
        </is>
      </c>
      <c r="B12" s="8">
        <f>SUM(B5:B11)</f>
        <v>177.96070000000003</v>
      </c>
    </row>
    <row r="13">
      <c r="A13" s="7" t="inlineStr">
        <is>
          <t>tatsächlicher On-Chain-Bestand</t>
        </is>
      </c>
      <c r="B13" s="9" t="n">
        <v>177.96578521</v>
      </c>
    </row>
    <row r="14">
      <c r="A14" s="4" t="inlineStr">
        <is>
          <t>Restabweichung</t>
        </is>
      </c>
      <c r="B14" s="10">
        <f>B13-B12</f>
        <v>0.005085209999975859</v>
      </c>
    </row>
    <row r="16">
      <c r="A16" s="7" t="inlineStr">
        <is>
          <t>Fehlbestand insgesamt</t>
        </is>
      </c>
      <c r="B16" s="8">
        <f>B13-B5</f>
        <v>85.26878521</v>
      </c>
    </row>
    <row r="18">
      <c r="A18" s="11" t="inlineStr">
        <is>
          <t>Einstand der 85,2687 überzähligen Stück</t>
        </is>
      </c>
    </row>
    <row r="19">
      <c r="A19" s="3" t="inlineStr">
        <is>
          <t>Methode</t>
        </is>
      </c>
      <c r="B19" s="3" t="inlineStr">
        <is>
          <t>Stück</t>
        </is>
      </c>
      <c r="C19" s="3" t="inlineStr">
        <is>
          <t>Ø-Preis USD</t>
        </is>
      </c>
      <c r="D19" s="3" t="inlineStr">
        <is>
          <t>Einstand USD</t>
        </is>
      </c>
    </row>
    <row r="20">
      <c r="A20" s="12" t="inlineStr">
        <is>
          <t>FIFO – die jüngsten Lots (28.07. Kauf + Raydium-LP)</t>
        </is>
      </c>
      <c r="B20" s="5" t="n">
        <v>85.2687</v>
      </c>
      <c r="C20" s="13">
        <f>D20/B20</f>
        <v>304.6210391386288</v>
      </c>
      <c r="D20" s="14" t="n">
        <v>25974.64</v>
      </c>
    </row>
    <row r="21">
      <c r="A21" s="12" t="inlineStr">
        <is>
          <t>Differenz der FIFO-Kostenbasis (real 61.868 − Tracking 30.460)</t>
        </is>
      </c>
      <c r="B21" s="5" t="n">
        <v>85.2687</v>
      </c>
      <c r="C21" s="13">
        <f>D21/B21</f>
        <v>368.34266266519836</v>
      </c>
      <c r="D21" s="14" t="n">
        <v>31408.1</v>
      </c>
    </row>
    <row r="22">
      <c r="A22" s="12" t="inlineStr">
        <is>
          <t>Differenz der AVG-Kostenbasis (real 68.045 − Tracking 34.866)</t>
        </is>
      </c>
      <c r="B22" s="5" t="n">
        <v>85.2687</v>
      </c>
      <c r="C22" s="13">
        <f>D22/B22</f>
        <v>389.111127529797</v>
      </c>
      <c r="D22" s="14" t="n">
        <v>33179</v>
      </c>
    </row>
    <row r="24">
      <c r="A24" s="15" t="inlineStr">
        <is>
          <t>Grobe Antwort: rund 85 Stück zu ca. 300–390 USD – belastbarster Wert ist die FIFO-Sicht von ~305 USD/Stk,</t>
        </is>
      </c>
    </row>
    <row r="25">
      <c r="A25" s="15" t="inlineStr">
        <is>
          <t>weil die überzähligen Stücke real aus dem Raydium-LP (≈303 USD) und dem Kauf vom 28.07.2026 (307 USD) stammen.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2" customWidth="1" min="3" max="3"/>
    <col width="13" customWidth="1" min="4" max="4"/>
    <col width="14" customWidth="1" min="5" max="5"/>
    <col width="14" customWidth="1" min="6" max="6"/>
    <col width="17" customWidth="1" min="7" max="7"/>
    <col width="13" customWidth="1" min="8" max="8"/>
    <col width="38" customWidth="1" min="9" max="9"/>
  </cols>
  <sheetData>
    <row r="1">
      <c r="A1" s="16" t="inlineStr">
        <is>
          <t>Vollständige On-Chain-Historie TSLAx (beide Wallets, rekonstruiert via Solana RPC)</t>
        </is>
      </c>
    </row>
    <row r="3">
      <c r="A3" s="17" t="inlineStr">
        <is>
          <t>Datum</t>
        </is>
      </c>
      <c r="B3" s="17" t="inlineStr">
        <is>
          <t>Wallet</t>
        </is>
      </c>
      <c r="C3" s="17" t="inlineStr">
        <is>
          <t>Art</t>
        </is>
      </c>
      <c r="D3" s="17" t="inlineStr">
        <is>
          <t>TSLAx</t>
        </is>
      </c>
      <c r="E3" s="17" t="inlineStr">
        <is>
          <t>USD (Stable)</t>
        </is>
      </c>
      <c r="F3" s="17" t="inlineStr">
        <is>
          <t>Preis USD/Stk</t>
        </is>
      </c>
      <c r="G3" s="17" t="inlineStr">
        <is>
          <t>Bestand kumuliert</t>
        </is>
      </c>
      <c r="H3" s="17" t="inlineStr">
        <is>
          <t>im Tracking?</t>
        </is>
      </c>
      <c r="I3" s="17" t="inlineStr">
        <is>
          <t>Bemerkung</t>
        </is>
      </c>
    </row>
    <row r="4">
      <c r="A4" s="12" t="inlineStr">
        <is>
          <t>06.01.2026</t>
        </is>
      </c>
      <c r="B4" s="12" t="inlineStr">
        <is>
          <t>Fgp…YtLB</t>
        </is>
      </c>
      <c r="C4" s="12" t="inlineStr">
        <is>
          <t>Einbuchung</t>
        </is>
      </c>
      <c r="D4" s="5" t="n">
        <v>405.6905</v>
      </c>
      <c r="E4" s="14" t="n">
        <v>0</v>
      </c>
      <c r="F4" s="14" t="str">
        <f>IF(OR(D4=0,E4=0),"",-E4/D4)</f>
        <v/>
      </c>
      <c r="G4" s="5">
        <f>D4</f>
        <v>405.6905</v>
      </c>
      <c r="H4" s="12" t="inlineStr">
        <is>
          <t>ja (Altbestand 2025)</t>
        </is>
      </c>
      <c r="I4" s="12" t="inlineStr">
        <is>
          <t>Übertrag von Vor-Wallet</t>
        </is>
      </c>
    </row>
    <row r="5">
      <c r="A5" s="12" t="inlineStr">
        <is>
          <t>06.01.2026</t>
        </is>
      </c>
      <c r="B5" s="12" t="inlineStr">
        <is>
          <t>Fgp…YtLB</t>
        </is>
      </c>
      <c r="C5" s="12" t="inlineStr">
        <is>
          <t>Einbuchung</t>
        </is>
      </c>
      <c r="D5" s="5" t="n">
        <v>50.66</v>
      </c>
      <c r="E5" s="14" t="n">
        <v>0</v>
      </c>
      <c r="F5" s="14" t="str">
        <f>IF(OR(D5=0,E5=0),"",-E5/D5)</f>
        <v/>
      </c>
      <c r="G5" s="5">
        <f>G4+D5</f>
        <v>456.3505</v>
      </c>
      <c r="H5" s="12" t="inlineStr">
        <is>
          <t>ja (Altbestand 2025)</t>
        </is>
      </c>
      <c r="I5" s="12" t="inlineStr">
        <is>
          <t>Übertrag von Vor-Wallet</t>
        </is>
      </c>
    </row>
    <row r="6">
      <c r="A6" s="12" t="inlineStr">
        <is>
          <t>06.01.2026</t>
        </is>
      </c>
      <c r="B6" s="12" t="inlineStr">
        <is>
          <t>Fgp…YtLB</t>
        </is>
      </c>
      <c r="C6" s="12" t="inlineStr">
        <is>
          <t>Einbuchung</t>
        </is>
      </c>
      <c r="D6" s="5" t="n">
        <v>79.3625</v>
      </c>
      <c r="E6" s="14" t="n">
        <v>0</v>
      </c>
      <c r="F6" s="14" t="str">
        <f>IF(OR(D6=0,E6=0),"",-E6/D6)</f>
        <v/>
      </c>
      <c r="G6" s="5">
        <f>G5+D6</f>
        <v>535.713</v>
      </c>
      <c r="H6" s="12" t="inlineStr">
        <is>
          <t>ja (Altbestand 2025)</t>
        </is>
      </c>
      <c r="I6" s="12" t="inlineStr">
        <is>
          <t>Übertrag von Vor-Wallet</t>
        </is>
      </c>
    </row>
    <row r="7">
      <c r="A7" s="12" t="inlineStr">
        <is>
          <t>06.01.2026</t>
        </is>
      </c>
      <c r="B7" s="12" t="inlineStr">
        <is>
          <t>Fgp…YtLB</t>
        </is>
      </c>
      <c r="C7" s="12" t="inlineStr">
        <is>
          <t>Einbuchung</t>
        </is>
      </c>
      <c r="D7" s="5" t="n">
        <v>66.16849999999999</v>
      </c>
      <c r="E7" s="14" t="n">
        <v>0</v>
      </c>
      <c r="F7" s="14" t="str">
        <f>IF(OR(D7=0,E7=0),"",-E7/D7)</f>
        <v/>
      </c>
      <c r="G7" s="5">
        <f>G6+D7</f>
        <v>601.8815</v>
      </c>
      <c r="H7" s="12" t="inlineStr">
        <is>
          <t>ja (Altbestand 2025)</t>
        </is>
      </c>
      <c r="I7" s="12" t="inlineStr">
        <is>
          <t>Summe 601,8816 = Tracking 601,66</t>
        </is>
      </c>
    </row>
    <row r="8">
      <c r="A8" s="12" t="inlineStr">
        <is>
          <t>08.01.2026</t>
        </is>
      </c>
      <c r="B8" s="12" t="inlineStr">
        <is>
          <t>2sR…TvJMV</t>
        </is>
      </c>
      <c r="C8" s="12" t="inlineStr">
        <is>
          <t>Kauf</t>
        </is>
      </c>
      <c r="D8" s="5" t="n">
        <v>6.1861</v>
      </c>
      <c r="E8" s="14" t="n">
        <v>-2700</v>
      </c>
      <c r="F8" s="14">
        <f>IF(OR(D8=0,E8=0),"",-E8/D8)</f>
        <v>436.46239149059994</v>
      </c>
      <c r="G8" s="5">
        <f>G7+D8</f>
        <v>608.0676</v>
      </c>
      <c r="H8" s="12" t="inlineStr">
        <is>
          <t>ja</t>
        </is>
      </c>
      <c r="I8" s="12" t="inlineStr">
        <is>
          <t>getrackt 09.01. 6,19 @ 436</t>
        </is>
      </c>
    </row>
    <row r="9">
      <c r="A9" s="12" t="inlineStr">
        <is>
          <t>20.01.2026</t>
        </is>
      </c>
      <c r="B9" s="12" t="inlineStr">
        <is>
          <t>2sR…TvJMV</t>
        </is>
      </c>
      <c r="C9" s="12" t="inlineStr">
        <is>
          <t>Kauf</t>
        </is>
      </c>
      <c r="D9" s="5" t="n">
        <v>23.3655</v>
      </c>
      <c r="E9" s="14" t="n">
        <v>-9868.18</v>
      </c>
      <c r="F9" s="14">
        <f>IF(OR(D9=0,E9=0),"",-E9/D9)</f>
        <v>422.3397744537887</v>
      </c>
      <c r="G9" s="5">
        <f>G8+D9</f>
        <v>631.4331</v>
      </c>
      <c r="H9" s="12" t="inlineStr">
        <is>
          <t>ja</t>
        </is>
      </c>
      <c r="I9" s="12" t="inlineStr">
        <is>
          <t>getrackt 20.01. 23,36 @ 422</t>
        </is>
      </c>
    </row>
    <row r="10">
      <c r="A10" s="12" t="inlineStr">
        <is>
          <t>20.01.2026</t>
        </is>
      </c>
      <c r="B10" s="12" t="inlineStr">
        <is>
          <t>2sR…TvJMV</t>
        </is>
      </c>
      <c r="C10" s="12" t="inlineStr">
        <is>
          <t>Kauf</t>
        </is>
      </c>
      <c r="D10" s="5" t="n">
        <v>23.8311</v>
      </c>
      <c r="E10" s="14" t="n">
        <v>-9999.99</v>
      </c>
      <c r="F10" s="14">
        <f>IF(OR(D10=0,E10=0),"",-E10/D10)</f>
        <v>419.61932097133575</v>
      </c>
      <c r="G10" s="5">
        <f>G9+D10</f>
        <v>655.2642</v>
      </c>
      <c r="H10" s="12" t="inlineStr">
        <is>
          <t>ja</t>
        </is>
      </c>
      <c r="I10" s="12" t="inlineStr">
        <is>
          <t>getrackt 21.01. 23,83 @ 420 (USDS)</t>
        </is>
      </c>
    </row>
    <row r="11">
      <c r="A11" s="12" t="inlineStr">
        <is>
          <t>02.02.2026</t>
        </is>
      </c>
      <c r="B11" s="12" t="inlineStr">
        <is>
          <t>2sR…TvJMV</t>
        </is>
      </c>
      <c r="C11" s="12" t="inlineStr">
        <is>
          <t>Verkauf</t>
        </is>
      </c>
      <c r="D11" s="5" t="n">
        <v>-23.83</v>
      </c>
      <c r="E11" s="14" t="n">
        <v>10061</v>
      </c>
      <c r="F11" s="14">
        <f>IF(OR(D11=0,E11=0),"",-E11/D11)</f>
        <v>422.1989089383131</v>
      </c>
      <c r="G11" s="5">
        <f>G10+D11</f>
        <v>631.4341999999999</v>
      </c>
      <c r="H11" s="18" t="inlineStr">
        <is>
          <t>NEIN</t>
        </is>
      </c>
      <c r="I11" s="18" t="inlineStr">
        <is>
          <t>FEHLT im Tracking</t>
        </is>
      </c>
    </row>
    <row r="12">
      <c r="A12" s="12" t="inlineStr">
        <is>
          <t>03.02.2026</t>
        </is>
      </c>
      <c r="B12" s="12" t="inlineStr">
        <is>
          <t>2sR…TvJMV</t>
        </is>
      </c>
      <c r="C12" s="12" t="inlineStr">
        <is>
          <t>Verkauf</t>
        </is>
      </c>
      <c r="D12" s="5" t="n">
        <v>-29.5527</v>
      </c>
      <c r="E12" s="14" t="n">
        <v>12401.42</v>
      </c>
      <c r="F12" s="14">
        <f>IF(OR(D12=0,E12=0),"",-E12/D12)</f>
        <v>419.6374612133578</v>
      </c>
      <c r="G12" s="5">
        <f>G11+D12</f>
        <v>601.8815</v>
      </c>
      <c r="H12" s="12" t="inlineStr">
        <is>
          <t>ja</t>
        </is>
      </c>
      <c r="I12" s="12" t="inlineStr"/>
    </row>
    <row r="13">
      <c r="A13" s="12" t="inlineStr">
        <is>
          <t>04.02.2026</t>
        </is>
      </c>
      <c r="B13" s="12" t="inlineStr">
        <is>
          <t>Fgp…YtLB</t>
        </is>
      </c>
      <c r="C13" s="12" t="inlineStr">
        <is>
          <t>Verkauf</t>
        </is>
      </c>
      <c r="D13" s="5" t="n">
        <v>-12</v>
      </c>
      <c r="E13" s="14" t="n">
        <v>5033.92</v>
      </c>
      <c r="F13" s="14">
        <f>IF(OR(D13=0,E13=0),"",-E13/D13)</f>
        <v>419.49333333333334</v>
      </c>
      <c r="G13" s="5">
        <f>G12+D13</f>
        <v>589.8815</v>
      </c>
      <c r="H13" s="12" t="inlineStr">
        <is>
          <t>ja</t>
        </is>
      </c>
      <c r="I13" s="12" t="inlineStr"/>
    </row>
    <row r="14">
      <c r="A14" s="12" t="inlineStr">
        <is>
          <t>04.02.2026</t>
        </is>
      </c>
      <c r="B14" s="12" t="inlineStr">
        <is>
          <t>Fgp…YtLB</t>
        </is>
      </c>
      <c r="C14" s="12" t="inlineStr">
        <is>
          <t>Verkauf</t>
        </is>
      </c>
      <c r="D14" s="5" t="n">
        <v>-12</v>
      </c>
      <c r="E14" s="14" t="n">
        <v>5034.12</v>
      </c>
      <c r="F14" s="14">
        <f>IF(OR(D14=0,E14=0),"",-E14/D14)</f>
        <v>419.51</v>
      </c>
      <c r="G14" s="5">
        <f>G13+D14</f>
        <v>577.8815</v>
      </c>
      <c r="H14" s="12" t="inlineStr">
        <is>
          <t>teilw.</t>
        </is>
      </c>
      <c r="I14" s="12" t="inlineStr">
        <is>
          <t>getrackt als 12,44 @ 406</t>
        </is>
      </c>
    </row>
    <row r="15">
      <c r="A15" s="12" t="inlineStr">
        <is>
          <t>04.02.2026</t>
        </is>
      </c>
      <c r="B15" s="12" t="inlineStr">
        <is>
          <t>Fgp…YtLB</t>
        </is>
      </c>
      <c r="C15" s="12" t="inlineStr">
        <is>
          <t>Verkauf</t>
        </is>
      </c>
      <c r="D15" s="5" t="n">
        <v>-25</v>
      </c>
      <c r="E15" s="14" t="n">
        <v>10136.54</v>
      </c>
      <c r="F15" s="14">
        <f>IF(OR(D15=0,E15=0),"",-E15/D15)</f>
        <v>405.46160000000003</v>
      </c>
      <c r="G15" s="5">
        <f>G14+D15</f>
        <v>552.8815</v>
      </c>
      <c r="H15" s="12" t="inlineStr">
        <is>
          <t>ja</t>
        </is>
      </c>
      <c r="I15" s="12" t="inlineStr"/>
    </row>
    <row r="16">
      <c r="A16" s="12" t="inlineStr">
        <is>
          <t>25.02.2026</t>
        </is>
      </c>
      <c r="B16" s="12" t="inlineStr">
        <is>
          <t>Fgp…YtLB</t>
        </is>
      </c>
      <c r="C16" s="12" t="inlineStr">
        <is>
          <t>Kamino ein</t>
        </is>
      </c>
      <c r="D16" s="5" t="n">
        <v>-552.8816</v>
      </c>
      <c r="E16" s="14" t="n">
        <v>0</v>
      </c>
      <c r="F16" s="14" t="str">
        <f>IF(OR(D16=0,E16=0),"",-E16/D16)</f>
        <v/>
      </c>
      <c r="G16" s="5">
        <f>G15+D16</f>
        <v>-0.00010000000008858478</v>
      </c>
      <c r="H16" s="12" t="inlineStr">
        <is>
          <t>n/a</t>
        </is>
      </c>
      <c r="I16" s="12" t="inlineStr">
        <is>
          <t>Collateral, neutral</t>
        </is>
      </c>
    </row>
    <row r="17">
      <c r="A17" s="12" t="inlineStr">
        <is>
          <t>03.04.2026</t>
        </is>
      </c>
      <c r="B17" s="12" t="inlineStr">
        <is>
          <t>Fgp…YtLB</t>
        </is>
      </c>
      <c r="C17" s="12" t="inlineStr">
        <is>
          <t>Kamino aus</t>
        </is>
      </c>
      <c r="D17" s="5" t="n">
        <v>552.8823</v>
      </c>
      <c r="E17" s="14" t="n">
        <v>0</v>
      </c>
      <c r="F17" s="14" t="str">
        <f>IF(OR(D17=0,E17=0),"",-E17/D17)</f>
        <v/>
      </c>
      <c r="G17" s="5">
        <f>G16+D17</f>
        <v>552.8821999999999</v>
      </c>
      <c r="H17" s="12" t="inlineStr">
        <is>
          <t>n/a</t>
        </is>
      </c>
      <c r="I17" s="12" t="inlineStr">
        <is>
          <t>Collateral, neutral</t>
        </is>
      </c>
    </row>
    <row r="18">
      <c r="A18" s="12" t="inlineStr">
        <is>
          <t>08.04.2026</t>
        </is>
      </c>
      <c r="B18" s="12" t="inlineStr">
        <is>
          <t>—</t>
        </is>
      </c>
      <c r="C18" s="12" t="inlineStr">
        <is>
          <t>(Verkauf 100 @ 400)</t>
        </is>
      </c>
      <c r="D18" s="5" t="n">
        <v>0</v>
      </c>
      <c r="E18" s="14" t="n">
        <v>0</v>
      </c>
      <c r="F18" s="14" t="str">
        <f>IF(OR(D18=0,E18=0),"",-E18/D18)</f>
        <v/>
      </c>
      <c r="G18" s="5">
        <f>G17+D18</f>
        <v>552.8821999999999</v>
      </c>
      <c r="H18" s="18" t="inlineStr">
        <is>
          <t>nur Tracking</t>
        </is>
      </c>
      <c r="I18" s="18" t="inlineStr">
        <is>
          <t>ON-CHAIN NICHT VORHANDEN</t>
        </is>
      </c>
    </row>
    <row r="19">
      <c r="A19" s="12" t="inlineStr">
        <is>
          <t>16.04.2026</t>
        </is>
      </c>
      <c r="B19" s="12" t="inlineStr">
        <is>
          <t>Fgp…YtLB</t>
        </is>
      </c>
      <c r="C19" s="12" t="inlineStr">
        <is>
          <t>Verkauf</t>
        </is>
      </c>
      <c r="D19" s="5" t="n">
        <v>-50</v>
      </c>
      <c r="E19" s="14" t="n">
        <v>19779.43</v>
      </c>
      <c r="F19" s="14">
        <f>IF(OR(D19=0,E19=0),"",-E19/D19)</f>
        <v>395.5886</v>
      </c>
      <c r="G19" s="5">
        <f>G18+D19</f>
        <v>502.8821999999999</v>
      </c>
      <c r="H19" s="12" t="inlineStr">
        <is>
          <t>ja</t>
        </is>
      </c>
      <c r="I19" s="12" t="inlineStr"/>
    </row>
    <row r="20">
      <c r="A20" s="12" t="inlineStr">
        <is>
          <t>16.04.2026</t>
        </is>
      </c>
      <c r="B20" s="12" t="inlineStr">
        <is>
          <t>Fgp…YtLB</t>
        </is>
      </c>
      <c r="C20" s="12" t="inlineStr">
        <is>
          <t>Verkauf</t>
        </is>
      </c>
      <c r="D20" s="5" t="n">
        <v>-50</v>
      </c>
      <c r="E20" s="14" t="n">
        <v>19727.08</v>
      </c>
      <c r="F20" s="14">
        <f>IF(OR(D20=0,E20=0),"",-E20/D20)</f>
        <v>394.5416</v>
      </c>
      <c r="G20" s="5">
        <f>G19+D20</f>
        <v>452.8821999999999</v>
      </c>
      <c r="H20" s="12" t="inlineStr">
        <is>
          <t>ja</t>
        </is>
      </c>
      <c r="I20" s="12" t="inlineStr"/>
    </row>
    <row r="21">
      <c r="A21" s="12" t="inlineStr">
        <is>
          <t>19.04.2026</t>
        </is>
      </c>
      <c r="B21" s="12" t="inlineStr">
        <is>
          <t>Fgp→2sR</t>
        </is>
      </c>
      <c r="C21" s="12" t="inlineStr">
        <is>
          <t>Transfer</t>
        </is>
      </c>
      <c r="D21" s="5" t="n">
        <v>0</v>
      </c>
      <c r="E21" s="14" t="n">
        <v>0</v>
      </c>
      <c r="F21" s="14" t="str">
        <f>IF(OR(D21=0,E21=0),"",-E21/D21)</f>
        <v/>
      </c>
      <c r="G21" s="5">
        <f>G20+D21</f>
        <v>452.8821999999999</v>
      </c>
      <c r="H21" s="12" t="inlineStr">
        <is>
          <t>n/a</t>
        </is>
      </c>
      <c r="I21" s="12" t="inlineStr">
        <is>
          <t>152,8823 intern verschoben</t>
        </is>
      </c>
    </row>
    <row r="22">
      <c r="A22" s="12" t="inlineStr">
        <is>
          <t>19.04.2026</t>
        </is>
      </c>
      <c r="B22" s="12" t="inlineStr">
        <is>
          <t>2sR…TvJMV</t>
        </is>
      </c>
      <c r="C22" s="12" t="inlineStr">
        <is>
          <t>Verkauf</t>
        </is>
      </c>
      <c r="D22" s="5" t="n">
        <v>-50</v>
      </c>
      <c r="E22" s="14" t="n">
        <v>19852.42</v>
      </c>
      <c r="F22" s="14">
        <f>IF(OR(D22=0,E22=0),"",-E22/D22)</f>
        <v>397.04839999999996</v>
      </c>
      <c r="G22" s="5">
        <f>G21+D22</f>
        <v>402.8821999999999</v>
      </c>
      <c r="H22" s="12" t="inlineStr">
        <is>
          <t>ja</t>
        </is>
      </c>
      <c r="I22" s="12" t="inlineStr"/>
    </row>
    <row r="23">
      <c r="A23" s="12" t="inlineStr">
        <is>
          <t>19.04.2026</t>
        </is>
      </c>
      <c r="B23" s="12" t="inlineStr">
        <is>
          <t>2sR…TvJMV</t>
        </is>
      </c>
      <c r="C23" s="12" t="inlineStr">
        <is>
          <t>Verkauf</t>
        </is>
      </c>
      <c r="D23" s="5" t="n">
        <v>-50</v>
      </c>
      <c r="E23" s="14" t="n">
        <v>19776</v>
      </c>
      <c r="F23" s="14">
        <f>IF(OR(D23=0,E23=0),"",-E23/D23)</f>
        <v>395.52</v>
      </c>
      <c r="G23" s="5">
        <f>G22+D23</f>
        <v>352.8821999999999</v>
      </c>
      <c r="H23" s="12" t="inlineStr">
        <is>
          <t>ja</t>
        </is>
      </c>
      <c r="I23" s="12" t="inlineStr"/>
    </row>
    <row r="24">
      <c r="A24" s="12" t="inlineStr">
        <is>
          <t>19.04.2026</t>
        </is>
      </c>
      <c r="B24" s="12" t="inlineStr">
        <is>
          <t>2sR…TvJMV</t>
        </is>
      </c>
      <c r="C24" s="12" t="inlineStr">
        <is>
          <t>Verkauf</t>
        </is>
      </c>
      <c r="D24" s="5" t="n">
        <v>-52.8823</v>
      </c>
      <c r="E24" s="14" t="n">
        <v>20866.14</v>
      </c>
      <c r="F24" s="14">
        <f>IF(OR(D24=0,E24=0),"",-E24/D24)</f>
        <v>394.57701348088113</v>
      </c>
      <c r="G24" s="5">
        <f>G23+D24</f>
        <v>299.9998999999999</v>
      </c>
      <c r="H24" s="12" t="inlineStr">
        <is>
          <t>teilw.</t>
        </is>
      </c>
      <c r="I24" s="12" t="inlineStr">
        <is>
          <t>getrackt 20.04. als 55,04</t>
        </is>
      </c>
    </row>
    <row r="25">
      <c r="A25" s="12" t="inlineStr">
        <is>
          <t>05.05.2026</t>
        </is>
      </c>
      <c r="B25" s="12" t="inlineStr">
        <is>
          <t>Fgp…YtLB</t>
        </is>
      </c>
      <c r="C25" s="12" t="inlineStr">
        <is>
          <t>Verkauf</t>
        </is>
      </c>
      <c r="D25" s="5" t="n">
        <v>-50</v>
      </c>
      <c r="E25" s="14" t="n">
        <v>19544.84</v>
      </c>
      <c r="F25" s="14">
        <f>IF(OR(D25=0,E25=0),"",-E25/D25)</f>
        <v>390.8968</v>
      </c>
      <c r="G25" s="5">
        <f>G24+D25</f>
        <v>249.9998999999999</v>
      </c>
      <c r="H25" s="12" t="inlineStr">
        <is>
          <t>ja</t>
        </is>
      </c>
      <c r="I25" s="12" t="inlineStr"/>
    </row>
    <row r="26">
      <c r="A26" s="12" t="inlineStr">
        <is>
          <t>08.05.2026</t>
        </is>
      </c>
      <c r="B26" s="12" t="inlineStr">
        <is>
          <t>Fgp…YtLB</t>
        </is>
      </c>
      <c r="C26" s="12" t="inlineStr">
        <is>
          <t>Verkauf</t>
        </is>
      </c>
      <c r="D26" s="5" t="n">
        <v>-50</v>
      </c>
      <c r="E26" s="14" t="n">
        <v>20737.78</v>
      </c>
      <c r="F26" s="14">
        <f>IF(OR(D26=0,E26=0),"",-E26/D26)</f>
        <v>414.75559999999996</v>
      </c>
      <c r="G26" s="5">
        <f>G25+D26</f>
        <v>199.9998999999999</v>
      </c>
      <c r="H26" s="12" t="inlineStr">
        <is>
          <t>ja</t>
        </is>
      </c>
      <c r="I26" s="12" t="inlineStr"/>
    </row>
    <row r="27">
      <c r="A27" s="12" t="inlineStr">
        <is>
          <t>11.05.2026</t>
        </is>
      </c>
      <c r="B27" s="12" t="inlineStr">
        <is>
          <t>Fgp…YtLB</t>
        </is>
      </c>
      <c r="C27" s="12" t="inlineStr">
        <is>
          <t>Verkauf</t>
        </is>
      </c>
      <c r="D27" s="5" t="n">
        <v>-50</v>
      </c>
      <c r="E27" s="14" t="n">
        <v>22300.71</v>
      </c>
      <c r="F27" s="14">
        <f>IF(OR(D27=0,E27=0),"",-E27/D27)</f>
        <v>446.01419999999996</v>
      </c>
      <c r="G27" s="5">
        <f>G26+D27</f>
        <v>149.9998999999999</v>
      </c>
      <c r="H27" s="12" t="inlineStr">
        <is>
          <t>ja</t>
        </is>
      </c>
      <c r="I27" s="12" t="inlineStr"/>
    </row>
    <row r="28">
      <c r="A28" s="12" t="inlineStr">
        <is>
          <t>20.–23.05.2026</t>
        </is>
      </c>
      <c r="B28" s="12" t="inlineStr">
        <is>
          <t>beide</t>
        </is>
      </c>
      <c r="C28" s="12" t="inlineStr">
        <is>
          <t>Kamino ein</t>
        </is>
      </c>
      <c r="D28" s="5" t="n">
        <v>-150.0003</v>
      </c>
      <c r="E28" s="14" t="n">
        <v>0</v>
      </c>
      <c r="F28" s="14" t="str">
        <f>IF(OR(D28=0,E28=0),"",-E28/D28)</f>
        <v/>
      </c>
      <c r="G28" s="5">
        <f>G27+D28</f>
        <v>-0.00040000000009854375</v>
      </c>
      <c r="H28" s="12" t="inlineStr">
        <is>
          <t>n/a</t>
        </is>
      </c>
      <c r="I28" s="12" t="inlineStr">
        <is>
          <t>150 Stk über Kamino zu Wallet 2sR</t>
        </is>
      </c>
    </row>
    <row r="29">
      <c r="A29" s="12" t="inlineStr">
        <is>
          <t>05.06.2026</t>
        </is>
      </c>
      <c r="B29" s="12" t="inlineStr">
        <is>
          <t>2sR…TvJMV</t>
        </is>
      </c>
      <c r="C29" s="12" t="inlineStr">
        <is>
          <t>Kauf</t>
        </is>
      </c>
      <c r="D29" s="5" t="n">
        <v>25.535</v>
      </c>
      <c r="E29" s="14" t="n">
        <v>-10000</v>
      </c>
      <c r="F29" s="14">
        <f>IF(OR(D29=0,E29=0),"",-E29/D29)</f>
        <v>391.6193459956922</v>
      </c>
      <c r="G29" s="5">
        <f>G28+D29</f>
        <v>25.5345999999999</v>
      </c>
      <c r="H29" s="12" t="inlineStr">
        <is>
          <t>ja</t>
        </is>
      </c>
      <c r="I29" s="12" t="inlineStr">
        <is>
          <t>getrackt 05.06. 25,53 @ 391,70</t>
        </is>
      </c>
    </row>
    <row r="30">
      <c r="A30" s="12" t="inlineStr">
        <is>
          <t>05.06.2026</t>
        </is>
      </c>
      <c r="B30" s="12" t="inlineStr">
        <is>
          <t>2sR…TvJMV</t>
        </is>
      </c>
      <c r="C30" s="12" t="inlineStr">
        <is>
          <t>Raydium LP ein</t>
        </is>
      </c>
      <c r="D30" s="5" t="n">
        <v>-25.152</v>
      </c>
      <c r="E30" s="14" t="n">
        <v>-12136.05</v>
      </c>
      <c r="F30" s="14">
        <f>IF(OR(D30=0,E30=0),"",-E30/D30)</f>
        <v>-482.50834923664115</v>
      </c>
      <c r="G30" s="5">
        <f>G29+D30</f>
        <v>0.3825999999999006</v>
      </c>
      <c r="H30" s="18" t="inlineStr">
        <is>
          <t>NEIN</t>
        </is>
      </c>
      <c r="I30" s="18" t="inlineStr">
        <is>
          <t>CLMM-Einlage</t>
        </is>
      </c>
    </row>
    <row r="31">
      <c r="A31" s="12" t="inlineStr">
        <is>
          <t>09.06.2026</t>
        </is>
      </c>
      <c r="B31" s="12" t="inlineStr">
        <is>
          <t>2sR…TvJMV</t>
        </is>
      </c>
      <c r="C31" s="12" t="inlineStr">
        <is>
          <t>LP-Gebühren</t>
        </is>
      </c>
      <c r="D31" s="5" t="n">
        <v>0.07829999999999999</v>
      </c>
      <c r="E31" s="14" t="n">
        <v>31.4</v>
      </c>
      <c r="F31" s="14">
        <f>IF(OR(D31=0,E31=0),"",-E31/D31)</f>
        <v>-401.02171136653897</v>
      </c>
      <c r="G31" s="5">
        <f>G30+D31</f>
        <v>0.46089999999990056</v>
      </c>
      <c r="H31" s="18" t="inlineStr">
        <is>
          <t>NEIN</t>
        </is>
      </c>
      <c r="I31" s="18" t="inlineStr"/>
    </row>
    <row r="32">
      <c r="A32" s="12" t="inlineStr">
        <is>
          <t>23.06.2026</t>
        </is>
      </c>
      <c r="B32" s="12" t="inlineStr">
        <is>
          <t>2sR…TvJMV</t>
        </is>
      </c>
      <c r="C32" s="12" t="inlineStr">
        <is>
          <t>Kauf</t>
        </is>
      </c>
      <c r="D32" s="5" t="n">
        <v>26.1674</v>
      </c>
      <c r="E32" s="14" t="n">
        <v>-10000</v>
      </c>
      <c r="F32" s="14">
        <f>IF(OR(D32=0,E32=0),"",-E32/D32)</f>
        <v>382.1548950220503</v>
      </c>
      <c r="G32" s="5">
        <f>G31+D32</f>
        <v>26.6282999999999</v>
      </c>
      <c r="H32" s="12" t="inlineStr">
        <is>
          <t>ja</t>
        </is>
      </c>
      <c r="I32" s="12" t="inlineStr">
        <is>
          <t>getrackt 24.06. 26,16 @ 382,25</t>
        </is>
      </c>
    </row>
    <row r="33">
      <c r="A33" s="12" t="inlineStr">
        <is>
          <t>23.06.2026</t>
        </is>
      </c>
      <c r="B33" s="12" t="inlineStr">
        <is>
          <t>2sR…TvJMV</t>
        </is>
      </c>
      <c r="C33" s="12" t="inlineStr">
        <is>
          <t>LP-Gebühren</t>
        </is>
      </c>
      <c r="D33" s="5" t="n">
        <v>0.3191</v>
      </c>
      <c r="E33" s="14" t="n">
        <v>125.23</v>
      </c>
      <c r="F33" s="14">
        <f>IF(OR(D33=0,E33=0),"",-E33/D33)</f>
        <v>-392.4475086179881</v>
      </c>
      <c r="G33" s="5">
        <f>G32+D33</f>
        <v>26.9473999999999</v>
      </c>
      <c r="H33" s="18" t="inlineStr">
        <is>
          <t>NEIN</t>
        </is>
      </c>
      <c r="I33" s="18" t="inlineStr"/>
    </row>
    <row r="34">
      <c r="A34" s="12" t="inlineStr">
        <is>
          <t>23.06.2026</t>
        </is>
      </c>
      <c r="B34" s="12" t="inlineStr">
        <is>
          <t>2sR…TvJMV</t>
        </is>
      </c>
      <c r="C34" s="12" t="inlineStr">
        <is>
          <t>Raydium LP ein</t>
        </is>
      </c>
      <c r="D34" s="5" t="n">
        <v>-26.5436</v>
      </c>
      <c r="E34" s="14" t="n">
        <v>-7681.78</v>
      </c>
      <c r="F34" s="14">
        <f>IF(OR(D34=0,E34=0),"",-E34/D34)</f>
        <v>-289.4023418074413</v>
      </c>
      <c r="G34" s="5">
        <f>G33+D34</f>
        <v>0.40379999999989735</v>
      </c>
      <c r="H34" s="18" t="inlineStr">
        <is>
          <t>NEIN</t>
        </is>
      </c>
      <c r="I34" s="18" t="inlineStr">
        <is>
          <t>CLMM-Einlage</t>
        </is>
      </c>
    </row>
    <row r="35">
      <c r="A35" s="12" t="inlineStr">
        <is>
          <t>07.07.2026</t>
        </is>
      </c>
      <c r="B35" s="12" t="inlineStr">
        <is>
          <t>2sR…TvJMV</t>
        </is>
      </c>
      <c r="C35" s="12" t="inlineStr">
        <is>
          <t>Kamino aus</t>
        </is>
      </c>
      <c r="D35" s="5" t="n">
        <v>150.0059</v>
      </c>
      <c r="E35" s="14" t="n">
        <v>0</v>
      </c>
      <c r="F35" s="14" t="str">
        <f>IF(OR(D35=0,E35=0),"",-E35/D35)</f>
        <v/>
      </c>
      <c r="G35" s="5">
        <f>G34+D35</f>
        <v>150.4096999999999</v>
      </c>
      <c r="H35" s="12" t="inlineStr">
        <is>
          <t>n/a</t>
        </is>
      </c>
      <c r="I35" s="12" t="inlineStr">
        <is>
          <t>neutral</t>
        </is>
      </c>
    </row>
    <row r="36">
      <c r="A36" s="12" t="inlineStr">
        <is>
          <t>25.07.2026</t>
        </is>
      </c>
      <c r="B36" s="12" t="inlineStr">
        <is>
          <t>2sR…TvJMV</t>
        </is>
      </c>
      <c r="C36" s="12" t="inlineStr">
        <is>
          <t>LP-Gebühren</t>
        </is>
      </c>
      <c r="D36" s="5" t="n">
        <v>0.6574</v>
      </c>
      <c r="E36" s="14" t="n">
        <v>250.44</v>
      </c>
      <c r="F36" s="14">
        <f>IF(OR(D36=0,E36=0),"",-E36/D36)</f>
        <v>-380.95527836933377</v>
      </c>
      <c r="G36" s="5">
        <f>G35+D36</f>
        <v>151.0670999999999</v>
      </c>
      <c r="H36" s="18" t="inlineStr">
        <is>
          <t>NEIN</t>
        </is>
      </c>
      <c r="I36" s="18" t="inlineStr"/>
    </row>
    <row r="37">
      <c r="A37" s="12" t="inlineStr">
        <is>
          <t>25.07.2026</t>
        </is>
      </c>
      <c r="B37" s="12" t="inlineStr">
        <is>
          <t>2sR…TvJMV</t>
        </is>
      </c>
      <c r="C37" s="12" t="inlineStr">
        <is>
          <t>LP-Gebühren</t>
        </is>
      </c>
      <c r="D37" s="5" t="n">
        <v>0.6536</v>
      </c>
      <c r="E37" s="14" t="n">
        <v>236.21</v>
      </c>
      <c r="F37" s="14">
        <f>IF(OR(D37=0,E37=0),"",-E37/D37)</f>
        <v>-361.39840881272954</v>
      </c>
      <c r="G37" s="5">
        <f>G36+D37</f>
        <v>151.7206999999999</v>
      </c>
      <c r="H37" s="18" t="inlineStr">
        <is>
          <t>NEIN</t>
        </is>
      </c>
      <c r="I37" s="18" t="inlineStr"/>
    </row>
    <row r="38">
      <c r="A38" s="12" t="inlineStr">
        <is>
          <t>25.07.2026</t>
        </is>
      </c>
      <c r="B38" s="12" t="inlineStr">
        <is>
          <t>2sR…TvJMV</t>
        </is>
      </c>
      <c r="C38" s="12" t="inlineStr">
        <is>
          <t>Raydium LP aus</t>
        </is>
      </c>
      <c r="D38" s="5" t="n">
        <v>47.7298</v>
      </c>
      <c r="E38" s="14" t="n">
        <v>0</v>
      </c>
      <c r="F38" s="14" t="str">
        <f>IF(OR(D38=0,E38=0),"",-E38/D38)</f>
        <v/>
      </c>
      <c r="G38" s="5">
        <f>G37+D38</f>
        <v>199.45049999999992</v>
      </c>
      <c r="H38" s="12" t="inlineStr">
        <is>
          <t>teilw.</t>
        </is>
      </c>
      <c r="I38" s="12" t="inlineStr">
        <is>
          <t>Position 1 geschlossen</t>
        </is>
      </c>
    </row>
    <row r="39">
      <c r="A39" s="12" t="inlineStr">
        <is>
          <t>25.07.2026</t>
        </is>
      </c>
      <c r="B39" s="12" t="inlineStr">
        <is>
          <t>2sR…TvJMV</t>
        </is>
      </c>
      <c r="C39" s="12" t="inlineStr">
        <is>
          <t>Raydium LP aus</t>
        </is>
      </c>
      <c r="D39" s="5" t="n">
        <v>59.843</v>
      </c>
      <c r="E39" s="14" t="n">
        <v>0</v>
      </c>
      <c r="F39" s="14" t="str">
        <f>IF(OR(D39=0,E39=0),"",-E39/D39)</f>
        <v/>
      </c>
      <c r="G39" s="5">
        <f>G38+D39</f>
        <v>259.29349999999994</v>
      </c>
      <c r="H39" s="12" t="inlineStr">
        <is>
          <t>teilw.</t>
        </is>
      </c>
      <c r="I39" s="12" t="inlineStr">
        <is>
          <t>Position 2 geschlossen</t>
        </is>
      </c>
    </row>
    <row r="40">
      <c r="A40" s="12" t="inlineStr">
        <is>
          <t>25.07.2026</t>
        </is>
      </c>
      <c r="B40" s="12" t="inlineStr">
        <is>
          <t>2sR…TvJMV</t>
        </is>
      </c>
      <c r="C40" s="12" t="inlineStr">
        <is>
          <t>Raydium LP aus</t>
        </is>
      </c>
      <c r="D40" s="5" t="n">
        <v>5.6716</v>
      </c>
      <c r="E40" s="14" t="n">
        <v>0</v>
      </c>
      <c r="F40" s="14" t="str">
        <f>IF(OR(D40=0,E40=0),"",-E40/D40)</f>
        <v/>
      </c>
      <c r="G40" s="5">
        <f>G39+D40</f>
        <v>264.96509999999995</v>
      </c>
      <c r="H40" s="12" t="inlineStr">
        <is>
          <t>teilw.</t>
        </is>
      </c>
      <c r="I40" s="12" t="inlineStr">
        <is>
          <t>Position 3 (geg. 2,374 XsoCS1)</t>
        </is>
      </c>
    </row>
    <row r="41">
      <c r="A41" s="12" t="inlineStr">
        <is>
          <t>27.07.2026</t>
        </is>
      </c>
      <c r="B41" s="12" t="inlineStr">
        <is>
          <t>2sR…TvJMV</t>
        </is>
      </c>
      <c r="C41" s="12" t="inlineStr">
        <is>
          <t>Kamino ein</t>
        </is>
      </c>
      <c r="D41" s="5" t="n">
        <v>-264.9655</v>
      </c>
      <c r="E41" s="14" t="n">
        <v>0</v>
      </c>
      <c r="F41" s="14" t="str">
        <f>IF(OR(D41=0,E41=0),"",-E41/D41)</f>
        <v/>
      </c>
      <c r="G41" s="5">
        <f>G40+D41</f>
        <v>-0.00040000000007012204</v>
      </c>
      <c r="H41" s="12" t="inlineStr">
        <is>
          <t>n/a</t>
        </is>
      </c>
      <c r="I41" s="12" t="inlineStr">
        <is>
          <t>neutral</t>
        </is>
      </c>
    </row>
    <row r="42">
      <c r="A42" s="12" t="inlineStr">
        <is>
          <t>28.07.2026</t>
        </is>
      </c>
      <c r="B42" s="12" t="inlineStr">
        <is>
          <t>2sR…TvJMV</t>
        </is>
      </c>
      <c r="C42" s="12" t="inlineStr">
        <is>
          <t>Kauf</t>
        </is>
      </c>
      <c r="D42" s="5" t="n">
        <v>32.5677</v>
      </c>
      <c r="E42" s="14" t="n">
        <v>-10000</v>
      </c>
      <c r="F42" s="14">
        <f>IF(OR(D42=0,E42=0),"",-E42/D42)</f>
        <v>307.0526933126994</v>
      </c>
      <c r="G42" s="5">
        <f>G41+D42</f>
        <v>32.56729999999993</v>
      </c>
      <c r="H42" s="12" t="inlineStr">
        <is>
          <t>ja</t>
        </is>
      </c>
      <c r="I42" s="12" t="inlineStr">
        <is>
          <t>getrackt 29.07. 32,57 @ 307</t>
        </is>
      </c>
    </row>
    <row r="43">
      <c r="A43" s="12" t="inlineStr">
        <is>
          <t>03.08.2026</t>
        </is>
      </c>
      <c r="B43" s="12" t="inlineStr">
        <is>
          <t>2sR…TvJMV</t>
        </is>
      </c>
      <c r="C43" s="12" t="inlineStr">
        <is>
          <t>Verkauf</t>
        </is>
      </c>
      <c r="D43" s="5" t="n">
        <v>-32.5677</v>
      </c>
      <c r="E43" s="14" t="n">
        <v>10346.96</v>
      </c>
      <c r="F43" s="14">
        <f>IF(OR(D43=0,E43=0),"",-E43/D43)</f>
        <v>317.70619355987674</v>
      </c>
      <c r="G43" s="5">
        <f>G42+D43</f>
        <v>-0.00040000000007012204</v>
      </c>
      <c r="H43" s="12" t="inlineStr">
        <is>
          <t>ja</t>
        </is>
      </c>
      <c r="I43" s="12" t="inlineStr"/>
    </row>
    <row r="44">
      <c r="A44" s="12" t="inlineStr">
        <is>
          <t>10.08.2026</t>
        </is>
      </c>
      <c r="B44" s="12" t="inlineStr">
        <is>
          <t>2sR…TvJMV</t>
        </is>
      </c>
      <c r="C44" s="12" t="inlineStr">
        <is>
          <t>Kamino aus</t>
        </is>
      </c>
      <c r="D44" s="5" t="n">
        <v>264.9658</v>
      </c>
      <c r="E44" s="14" t="n">
        <v>0</v>
      </c>
      <c r="F44" s="14" t="str">
        <f>IF(OR(D44=0,E44=0),"",-E44/D44)</f>
        <v/>
      </c>
      <c r="G44" s="5">
        <f>G43+D44</f>
        <v>264.96539999999993</v>
      </c>
      <c r="H44" s="12" t="inlineStr">
        <is>
          <t>n/a</t>
        </is>
      </c>
      <c r="I44" s="12" t="inlineStr">
        <is>
          <t>neutral</t>
        </is>
      </c>
    </row>
    <row r="45">
      <c r="A45" s="12" t="inlineStr">
        <is>
          <t>11.–12.08.2026</t>
        </is>
      </c>
      <c r="B45" s="12" t="inlineStr">
        <is>
          <t>2sR…TvJMV</t>
        </is>
      </c>
      <c r="C45" s="12" t="inlineStr">
        <is>
          <t>Raydium LP hin/zurück</t>
        </is>
      </c>
      <c r="D45" s="5" t="n">
        <v>0</v>
      </c>
      <c r="E45" s="14" t="n">
        <v>0</v>
      </c>
      <c r="F45" s="14" t="str">
        <f>IF(OR(D45=0,E45=0),"",-E45/D45)</f>
        <v/>
      </c>
      <c r="G45" s="5">
        <f>G44+D45</f>
        <v>264.96539999999993</v>
      </c>
      <c r="H45" s="12" t="inlineStr">
        <is>
          <t>n/a</t>
        </is>
      </c>
      <c r="I45" s="12" t="inlineStr">
        <is>
          <t>30 Stk, neutral</t>
        </is>
      </c>
    </row>
    <row r="46">
      <c r="A46" s="12" t="inlineStr">
        <is>
          <t>13.08.2026</t>
        </is>
      </c>
      <c r="B46" s="12" t="inlineStr">
        <is>
          <t>2sR…TvJMV</t>
        </is>
      </c>
      <c r="C46" s="12" t="inlineStr">
        <is>
          <t>Verkauf</t>
        </is>
      </c>
      <c r="D46" s="5" t="n">
        <v>-57</v>
      </c>
      <c r="E46" s="14" t="n">
        <v>19306.81</v>
      </c>
      <c r="F46" s="14">
        <f>IF(OR(D46=0,E46=0),"",-E46/D46)</f>
        <v>338.7159649122807</v>
      </c>
      <c r="G46" s="5">
        <f>G45+D46</f>
        <v>207.96539999999993</v>
      </c>
      <c r="H46" s="12" t="inlineStr">
        <is>
          <t>ja</t>
        </is>
      </c>
      <c r="I46" s="12" t="inlineStr"/>
    </row>
    <row r="47">
      <c r="A47" s="12" t="inlineStr">
        <is>
          <t>14.08.2026</t>
        </is>
      </c>
      <c r="B47" s="12" t="inlineStr">
        <is>
          <t>2sR…TvJMV</t>
        </is>
      </c>
      <c r="C47" s="12" t="inlineStr">
        <is>
          <t>Verkauf</t>
        </is>
      </c>
      <c r="D47" s="5" t="n">
        <v>-30</v>
      </c>
      <c r="E47" s="14" t="n">
        <v>10482.48</v>
      </c>
      <c r="F47" s="14">
        <f>IF(OR(D47=0,E47=0),"",-E47/D47)</f>
        <v>349.416</v>
      </c>
      <c r="G47" s="5">
        <f>G46+D47</f>
        <v>177.96539999999993</v>
      </c>
      <c r="H47" s="12" t="inlineStr">
        <is>
          <t>ja</t>
        </is>
      </c>
      <c r="I47" s="12" t="inlineStr"/>
    </row>
    <row r="48">
      <c r="C48" s="7" t="inlineStr">
        <is>
          <t>Endbestand</t>
        </is>
      </c>
      <c r="G48" s="8">
        <f>G47</f>
        <v>177.96539999999993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6" customWidth="1" min="4" max="4"/>
  </cols>
  <sheetData>
    <row r="1">
      <c r="A1" s="16" t="inlineStr">
        <is>
          <t>Tatsächlicher Einstand des Wallet-Bestands (177,9658 Stk)</t>
        </is>
      </c>
    </row>
    <row r="3">
      <c r="A3" s="3" t="inlineStr">
        <is>
          <t>FIFO-Lot</t>
        </is>
      </c>
      <c r="B3" s="3" t="inlineStr">
        <is>
          <t>Stück</t>
        </is>
      </c>
      <c r="C3" s="3" t="inlineStr">
        <is>
          <t>Preis USD</t>
        </is>
      </c>
      <c r="D3" s="3" t="inlineStr">
        <is>
          <t>Einstand USD</t>
        </is>
      </c>
    </row>
    <row r="4">
      <c r="A4" s="12" t="inlineStr">
        <is>
          <t>20.01.2026 Kauf</t>
        </is>
      </c>
      <c r="B4" s="5" t="n">
        <v>6.3789</v>
      </c>
      <c r="C4" s="19" t="n">
        <v>422.34</v>
      </c>
      <c r="D4" s="14">
        <f>B4*C4</f>
        <v>2694.064626</v>
      </c>
    </row>
    <row r="5">
      <c r="A5" s="12" t="inlineStr">
        <is>
          <t>20.01.2026 Kauf</t>
        </is>
      </c>
      <c r="B5" s="5" t="n">
        <v>23.8311</v>
      </c>
      <c r="C5" s="19" t="n">
        <v>419.62</v>
      </c>
      <c r="D5" s="14">
        <f>B5*C5</f>
        <v>10000.006182</v>
      </c>
    </row>
    <row r="6">
      <c r="A6" s="12" t="inlineStr">
        <is>
          <t>05.06.2026 Kauf</t>
        </is>
      </c>
      <c r="B6" s="5" t="n">
        <v>25.535</v>
      </c>
      <c r="C6" s="19" t="n">
        <v>391.62</v>
      </c>
      <c r="D6" s="14">
        <f>B6*C6</f>
        <v>10000.0167</v>
      </c>
    </row>
    <row r="7">
      <c r="A7" s="12" t="inlineStr">
        <is>
          <t>23.06.2026 Kauf</t>
        </is>
      </c>
      <c r="B7" s="5" t="n">
        <v>26.1674</v>
      </c>
      <c r="C7" s="19" t="n">
        <v>382.15</v>
      </c>
      <c r="D7" s="14">
        <f>B7*C7</f>
        <v>9999.87191</v>
      </c>
    </row>
    <row r="8">
      <c r="A8" s="12" t="inlineStr">
        <is>
          <t>25.07.2026 Raydium-LP-Auflösung</t>
        </is>
      </c>
      <c r="B8" s="5" t="n">
        <v>63.2572</v>
      </c>
      <c r="C8" s="19" t="n">
        <v>303.12</v>
      </c>
      <c r="D8" s="14">
        <f>B8*C8</f>
        <v>19174.522463999998</v>
      </c>
    </row>
    <row r="9">
      <c r="A9" s="12" t="inlineStr">
        <is>
          <t>28.07.2026 Kauf</t>
        </is>
      </c>
      <c r="B9" s="5" t="n">
        <v>32.5677</v>
      </c>
      <c r="C9" s="19" t="n">
        <v>307.05</v>
      </c>
      <c r="D9" s="14">
        <f>B9*C9</f>
        <v>9999.912285</v>
      </c>
    </row>
    <row r="10">
      <c r="A10" s="7" t="inlineStr">
        <is>
          <t>Summe (FIFO)</t>
        </is>
      </c>
      <c r="B10" s="8">
        <f>SUM(B4:B9)</f>
        <v>177.7373</v>
      </c>
      <c r="C10" s="20">
        <f>D10/B10</f>
        <v>348.088972697346</v>
      </c>
      <c r="D10" s="20">
        <f>SUM(D4:D9)</f>
        <v>61868.39416699999</v>
      </c>
    </row>
    <row r="12">
      <c r="A12" s="7" t="inlineStr">
        <is>
          <t>Zum Vergleich – gleitender Durchschnitt (AVG-Methode)</t>
        </is>
      </c>
    </row>
    <row r="13">
      <c r="A13" s="12" t="inlineStr">
        <is>
          <t>Wallet real (on-chain)</t>
        </is>
      </c>
      <c r="B13" s="5" t="n">
        <v>177.9589</v>
      </c>
      <c r="C13" s="14">
        <f>D13/B13</f>
        <v>382.36424253015724</v>
      </c>
      <c r="D13" s="14" t="n">
        <v>68045.12</v>
      </c>
    </row>
    <row r="14">
      <c r="A14" s="12" t="inlineStr">
        <is>
          <t>laut deinem Tracking</t>
        </is>
      </c>
      <c r="B14" s="5" t="n">
        <v>92.697</v>
      </c>
      <c r="C14" s="14">
        <f>D14/B14</f>
        <v>376.129971843749</v>
      </c>
      <c r="D14" s="14" t="n">
        <v>34866.12</v>
      </c>
    </row>
    <row r="16">
      <c r="A16" s="2" t="inlineStr">
        <is>
          <t>Annahme: Kostenbasis des Altbestands (601,8816 Stk @ Ø 431,29) aus deinen getrackten 2025er Käufen.</t>
        </is>
      </c>
    </row>
    <row r="17">
      <c r="A17" s="2" t="inlineStr">
        <is>
          <t>Alles ab 06.01.2026 stammt aus der Solana-Kette (Mengen exakt, Preise aus den Stablecoin-Beträgen der jeweiligen Transaktion).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2026-08-17T22:19:13Z</dcterms:created>
  <dcterms:modified xmlns:dcterms="http://purl.org/dc/terms/" xmlns:xsi="http://www.w3.org/2001/XMLSchema-instance" xsi:type="dcterms:W3CDTF">2026-08-17T22:19:13Z</dcterms:modified>
</cp:coreProperties>
</file>